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CAP776\"/>
    </mc:Choice>
  </mc:AlternateContent>
  <xr:revisionPtr revIDLastSave="0" documentId="13_ncr:1_{2390BDCE-2DCD-4EAA-B5C4-2F06119C8E9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J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J22" i="2"/>
  <c r="J21" i="2"/>
  <c r="I20" i="2"/>
  <c r="J20" i="2" s="1"/>
  <c r="J17" i="2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7" i="2"/>
  <c r="J7" i="2" s="1"/>
</calcChain>
</file>

<file path=xl/sharedStrings.xml><?xml version="1.0" encoding="utf-8"?>
<sst xmlns="http://schemas.openxmlformats.org/spreadsheetml/2006/main" count="97" uniqueCount="71">
  <si>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</si>
  <si>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</si>
  <si>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</si>
  <si>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</si>
  <si>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</si>
  <si>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</si>
  <si>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</si>
  <si>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</si>
  <si>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</si>
  <si>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</si>
  <si>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</si>
  <si>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</si>
  <si>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</si>
  <si>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</si>
  <si>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</si>
  <si>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</si>
  <si>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</si>
  <si>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</si>
  <si>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</si>
  <si>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</si>
  <si>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</si>
  <si>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</si>
  <si>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</si>
  <si>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</si>
  <si>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</si>
  <si>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</si>
  <si>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</si>
  <si>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</si>
  <si>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</si>
  <si>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</si>
  <si>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</si>
  <si>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</si>
  <si>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</si>
  <si>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</si>
  <si>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</si>
  <si>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</si>
  <si>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</si>
  <si>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</si>
  <si>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</si>
  <si>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</si>
  <si>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</si>
  <si>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</si>
  <si>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</si>
  <si>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</si>
  <si>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</si>
  <si>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</si>
  <si>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</si>
  <si>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</si>
  <si>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</si>
  <si>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</si>
  <si>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</si>
  <si>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</si>
  <si>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sania</t>
  </si>
  <si>
    <t>september</t>
  </si>
  <si>
    <t>Neutral</t>
  </si>
  <si>
    <t>Low</t>
  </si>
  <si>
    <t>I am tired before the evening classes</t>
  </si>
  <si>
    <t>I am tired because the timetable is long</t>
  </si>
  <si>
    <t>Excellent</t>
  </si>
  <si>
    <t>Very Satisfied</t>
  </si>
  <si>
    <t>High</t>
  </si>
  <si>
    <t>I am feeling good because timetable is short</t>
  </si>
  <si>
    <t>I am feeling great</t>
  </si>
  <si>
    <t>I am feeling good.</t>
  </si>
  <si>
    <t>feeling good</t>
  </si>
  <si>
    <t>feeling low</t>
  </si>
  <si>
    <t>MCA</t>
  </si>
  <si>
    <t>feeling great</t>
  </si>
  <si>
    <t>i am attending ca viva</t>
  </si>
  <si>
    <t>medium</t>
  </si>
  <si>
    <t>fitness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</si>
</sst>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1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5" sqref="C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2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 x14ac:dyDescent="0.3">
      <c r="A2" s="6" t="s">
        <v>30</v>
      </c>
      <c r="B2" s="23" t="s">
        <v>52</v>
      </c>
      <c r="C2" s="23"/>
      <c r="D2" s="23"/>
      <c r="E2" s="6" t="s">
        <v>31</v>
      </c>
      <c r="F2" s="23">
        <v>12609499</v>
      </c>
      <c r="G2" s="23"/>
    </row>
    <row r="3" spans="1:14" ht="19.5" customHeight="1" x14ac:dyDescent="0.3">
      <c r="A3" s="6" t="s">
        <v>32</v>
      </c>
      <c r="B3" s="23" t="s">
        <v>66</v>
      </c>
      <c r="C3" s="23"/>
      <c r="D3" s="23"/>
      <c r="E3" s="6" t="s">
        <v>33</v>
      </c>
      <c r="F3" s="23" t="s">
        <v>53</v>
      </c>
      <c r="G3" s="23"/>
    </row>
    <row r="4" spans="1:14" x14ac:dyDescent="0.3">
      <c r="A4" s="21" t="s">
        <v>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41.4" x14ac:dyDescent="0.3">
      <c r="A5" s="7" t="s">
        <v>35</v>
      </c>
      <c r="B5" s="7" t="s">
        <v>36</v>
      </c>
      <c r="C5" s="19" t="s">
        <v>70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28.8" x14ac:dyDescent="0.3">
      <c r="A6" s="8">
        <v>46280</v>
      </c>
      <c r="B6" s="9">
        <v>360</v>
      </c>
      <c r="C6" s="9">
        <v>10</v>
      </c>
      <c r="D6" s="9">
        <v>240</v>
      </c>
      <c r="E6" s="9">
        <v>120</v>
      </c>
      <c r="F6" s="9">
        <v>350</v>
      </c>
      <c r="G6" s="9">
        <v>7</v>
      </c>
      <c r="H6" s="9">
        <v>60</v>
      </c>
      <c r="I6" s="10">
        <v>1130</v>
      </c>
      <c r="J6" s="10">
        <v>310</v>
      </c>
      <c r="K6" s="11" t="s">
        <v>48</v>
      </c>
      <c r="L6" s="11" t="s">
        <v>49</v>
      </c>
      <c r="M6" s="11" t="s">
        <v>50</v>
      </c>
      <c r="N6" s="12" t="s">
        <v>56</v>
      </c>
    </row>
    <row r="7" spans="1:14" ht="28.8" x14ac:dyDescent="0.3">
      <c r="A7" s="13">
        <v>46281</v>
      </c>
      <c r="B7" s="14">
        <v>300</v>
      </c>
      <c r="C7" s="14">
        <v>30</v>
      </c>
      <c r="D7" s="14">
        <v>320</v>
      </c>
      <c r="E7" s="14">
        <v>180</v>
      </c>
      <c r="F7" s="14">
        <v>300</v>
      </c>
      <c r="G7" s="14">
        <v>6</v>
      </c>
      <c r="H7" s="14">
        <v>30</v>
      </c>
      <c r="I7" s="15">
        <f t="shared" ref="I7:I69" si="0">IF(SUM(B7:F7,H7)=0,"",SUM(B7:F7,H7))</f>
        <v>1160</v>
      </c>
      <c r="J7" s="15">
        <f t="shared" ref="J7:J69" si="1">IF(I7="","",1440-I7)</f>
        <v>280</v>
      </c>
      <c r="K7" s="16" t="s">
        <v>54</v>
      </c>
      <c r="L7" s="16" t="s">
        <v>54</v>
      </c>
      <c r="M7" s="16" t="s">
        <v>55</v>
      </c>
      <c r="N7" s="17" t="s">
        <v>57</v>
      </c>
    </row>
    <row r="8" spans="1:14" ht="28.8" x14ac:dyDescent="0.3">
      <c r="A8" s="13">
        <v>46282</v>
      </c>
      <c r="B8" s="14">
        <v>250</v>
      </c>
      <c r="C8" s="14">
        <v>60</v>
      </c>
      <c r="D8" s="14">
        <v>360</v>
      </c>
      <c r="E8" s="14">
        <v>60</v>
      </c>
      <c r="F8" s="14">
        <v>150</v>
      </c>
      <c r="G8" s="14">
        <v>3</v>
      </c>
      <c r="H8" s="14">
        <v>60</v>
      </c>
      <c r="I8" s="15">
        <f>IF(SUM(B8:F8,H8)=0,"",SUM(B8:F8,H8))</f>
        <v>940</v>
      </c>
      <c r="J8" s="15">
        <f t="shared" si="1"/>
        <v>500</v>
      </c>
      <c r="K8" s="16" t="s">
        <v>58</v>
      </c>
      <c r="L8" s="16" t="s">
        <v>59</v>
      </c>
      <c r="M8" s="16" t="s">
        <v>60</v>
      </c>
      <c r="N8" s="17" t="s">
        <v>61</v>
      </c>
    </row>
    <row r="9" spans="1:14" ht="28.8" x14ac:dyDescent="0.3">
      <c r="A9" s="13">
        <v>46283</v>
      </c>
      <c r="B9" s="14">
        <v>300</v>
      </c>
      <c r="C9" s="14">
        <v>0</v>
      </c>
      <c r="D9" s="14">
        <v>420</v>
      </c>
      <c r="E9" s="14">
        <v>80</v>
      </c>
      <c r="F9" s="14">
        <v>300</v>
      </c>
      <c r="G9" s="14">
        <v>4</v>
      </c>
      <c r="H9" s="14">
        <v>90</v>
      </c>
      <c r="I9" s="15">
        <f t="shared" si="0"/>
        <v>1190</v>
      </c>
      <c r="J9" s="15">
        <f t="shared" si="1"/>
        <v>250</v>
      </c>
      <c r="K9" s="16" t="s">
        <v>48</v>
      </c>
      <c r="L9" s="16" t="s">
        <v>49</v>
      </c>
      <c r="M9" s="16" t="s">
        <v>50</v>
      </c>
      <c r="N9" s="17" t="s">
        <v>61</v>
      </c>
    </row>
    <row r="10" spans="1:14" x14ac:dyDescent="0.3">
      <c r="A10" s="13">
        <v>46284</v>
      </c>
      <c r="B10" s="14">
        <v>420</v>
      </c>
      <c r="C10" s="14">
        <v>60</v>
      </c>
      <c r="D10" s="14">
        <v>350</v>
      </c>
      <c r="E10" s="14">
        <v>60</v>
      </c>
      <c r="F10" s="14">
        <v>0</v>
      </c>
      <c r="G10" s="14">
        <v>0</v>
      </c>
      <c r="H10" s="14">
        <v>60</v>
      </c>
      <c r="I10" s="15">
        <f t="shared" si="0"/>
        <v>950</v>
      </c>
      <c r="J10" s="15">
        <f t="shared" si="1"/>
        <v>490</v>
      </c>
      <c r="K10" s="16" t="s">
        <v>58</v>
      </c>
      <c r="L10" s="16" t="s">
        <v>59</v>
      </c>
      <c r="M10" s="16" t="s">
        <v>60</v>
      </c>
      <c r="N10" s="17" t="s">
        <v>62</v>
      </c>
    </row>
    <row r="11" spans="1:14" x14ac:dyDescent="0.3">
      <c r="A11" s="13">
        <v>46285</v>
      </c>
      <c r="B11" s="14">
        <v>350</v>
      </c>
      <c r="C11" s="14">
        <v>30</v>
      </c>
      <c r="D11" s="14">
        <v>420</v>
      </c>
      <c r="E11" s="14">
        <v>120</v>
      </c>
      <c r="F11" s="14">
        <v>0</v>
      </c>
      <c r="G11" s="14">
        <v>0</v>
      </c>
      <c r="H11" s="14">
        <v>120</v>
      </c>
      <c r="I11" s="15">
        <f t="shared" si="0"/>
        <v>1040</v>
      </c>
      <c r="J11" s="15">
        <f t="shared" si="1"/>
        <v>400</v>
      </c>
      <c r="K11" s="16" t="s">
        <v>48</v>
      </c>
      <c r="L11" s="16" t="s">
        <v>49</v>
      </c>
      <c r="M11" s="16" t="s">
        <v>50</v>
      </c>
      <c r="N11" s="17" t="s">
        <v>63</v>
      </c>
    </row>
    <row r="12" spans="1:14" x14ac:dyDescent="0.3">
      <c r="A12" s="13">
        <v>46286</v>
      </c>
      <c r="B12" s="14">
        <v>300</v>
      </c>
      <c r="C12" s="14">
        <v>60</v>
      </c>
      <c r="D12" s="14">
        <v>240</v>
      </c>
      <c r="E12" s="14">
        <v>60</v>
      </c>
      <c r="F12" s="14">
        <v>300</v>
      </c>
      <c r="G12" s="14">
        <v>4</v>
      </c>
      <c r="H12" s="14">
        <v>80</v>
      </c>
      <c r="I12" s="15">
        <f t="shared" si="0"/>
        <v>1040</v>
      </c>
      <c r="J12" s="15">
        <f t="shared" si="1"/>
        <v>400</v>
      </c>
      <c r="K12" s="16" t="s">
        <v>48</v>
      </c>
      <c r="L12" s="16" t="s">
        <v>49</v>
      </c>
      <c r="M12" s="16" t="s">
        <v>50</v>
      </c>
      <c r="N12" s="17" t="s">
        <v>64</v>
      </c>
    </row>
    <row r="13" spans="1:14" x14ac:dyDescent="0.3">
      <c r="A13" s="13">
        <v>46287</v>
      </c>
      <c r="B13" s="14">
        <v>250</v>
      </c>
      <c r="C13" s="14">
        <v>0</v>
      </c>
      <c r="D13" s="14">
        <v>420</v>
      </c>
      <c r="E13" s="14">
        <v>60</v>
      </c>
      <c r="F13" s="14">
        <v>350</v>
      </c>
      <c r="G13" s="14">
        <v>7</v>
      </c>
      <c r="H13" s="14">
        <v>0</v>
      </c>
      <c r="I13" s="15">
        <f t="shared" si="0"/>
        <v>1080</v>
      </c>
      <c r="J13" s="15">
        <f t="shared" si="1"/>
        <v>360</v>
      </c>
      <c r="K13" s="16" t="s">
        <v>55</v>
      </c>
      <c r="L13" s="16" t="s">
        <v>54</v>
      </c>
      <c r="M13" s="16" t="s">
        <v>69</v>
      </c>
      <c r="N13" s="18" t="s">
        <v>65</v>
      </c>
    </row>
    <row r="14" spans="1:14" x14ac:dyDescent="0.3">
      <c r="A14" s="13">
        <v>46288</v>
      </c>
      <c r="B14" s="14">
        <v>300</v>
      </c>
      <c r="C14" s="14">
        <v>0</v>
      </c>
      <c r="D14" s="14">
        <v>350</v>
      </c>
      <c r="E14" s="14">
        <v>120</v>
      </c>
      <c r="F14" s="14">
        <v>300</v>
      </c>
      <c r="G14" s="14">
        <v>6</v>
      </c>
      <c r="H14" s="14">
        <v>60</v>
      </c>
      <c r="I14" s="15">
        <f t="shared" si="0"/>
        <v>1130</v>
      </c>
      <c r="J14" s="15">
        <f t="shared" si="1"/>
        <v>310</v>
      </c>
      <c r="K14" s="16" t="s">
        <v>48</v>
      </c>
      <c r="L14" s="16" t="s">
        <v>49</v>
      </c>
      <c r="M14" s="17" t="s">
        <v>50</v>
      </c>
      <c r="N14" s="17" t="s">
        <v>64</v>
      </c>
    </row>
    <row r="15" spans="1:14" x14ac:dyDescent="0.3">
      <c r="A15" s="13">
        <v>46289</v>
      </c>
      <c r="B15" s="14">
        <v>360</v>
      </c>
      <c r="C15" s="14">
        <v>30</v>
      </c>
      <c r="D15" s="14">
        <v>300</v>
      </c>
      <c r="E15" s="14">
        <v>60</v>
      </c>
      <c r="F15" s="14">
        <v>100</v>
      </c>
      <c r="G15" s="14">
        <v>2</v>
      </c>
      <c r="H15" s="14">
        <v>60</v>
      </c>
      <c r="I15" s="15">
        <f t="shared" si="0"/>
        <v>910</v>
      </c>
      <c r="J15" s="15">
        <f t="shared" si="1"/>
        <v>530</v>
      </c>
      <c r="K15" s="16" t="s">
        <v>58</v>
      </c>
      <c r="L15" s="16" t="s">
        <v>59</v>
      </c>
      <c r="M15" s="16" t="s">
        <v>60</v>
      </c>
      <c r="N15" s="17" t="s">
        <v>67</v>
      </c>
    </row>
    <row r="16" spans="1:14" x14ac:dyDescent="0.3">
      <c r="A16" s="13">
        <v>46290</v>
      </c>
      <c r="B16" s="14">
        <v>300</v>
      </c>
      <c r="C16" s="14">
        <v>0</v>
      </c>
      <c r="D16" s="14">
        <v>400</v>
      </c>
      <c r="E16" s="14">
        <v>30</v>
      </c>
      <c r="F16" s="14">
        <v>300</v>
      </c>
      <c r="G16" s="14">
        <v>5</v>
      </c>
      <c r="H16" s="14">
        <v>120</v>
      </c>
      <c r="I16" s="15">
        <f t="shared" si="0"/>
        <v>1150</v>
      </c>
      <c r="J16" s="15">
        <f t="shared" si="1"/>
        <v>290</v>
      </c>
      <c r="K16" s="16" t="s">
        <v>48</v>
      </c>
      <c r="L16" s="16" t="s">
        <v>49</v>
      </c>
      <c r="M16" s="16" t="s">
        <v>50</v>
      </c>
      <c r="N16" s="17" t="s">
        <v>68</v>
      </c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/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/>
      <c r="J18" s="15"/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/>
      <c r="J19" s="15"/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/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/>
      <c r="J22" s="15" t="str">
        <f t="shared" si="1"/>
        <v/>
      </c>
      <c r="K22" s="16"/>
      <c r="L22" s="16"/>
      <c r="M22" s="16"/>
      <c r="N22" s="20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prompt="Select today's satisfaction level" sqref="L6:L401 M13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3 M15:M401 L14" xr:uid="{00000000-0002-0000-0100-000002000000}">
      <formula1>"High,Medium,Low"</formula1>
      <formula2>0</formula2>
    </dataValidation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saniadogra777@outlook.com</cp:lastModifiedBy>
  <cp:revision>0</cp:revision>
  <dcterms:created xsi:type="dcterms:W3CDTF">2026-07-24T11:49:30Z</dcterms:created>
  <dcterms:modified xsi:type="dcterms:W3CDTF">2026-10-12T11:52:48Z</dcterms:modified>
  <dc:language>en-US</dc:language>
</cp:coreProperties>
</file>